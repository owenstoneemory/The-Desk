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otstone_emory_edu/Documents/"/>
    </mc:Choice>
  </mc:AlternateContent>
  <xr:revisionPtr revIDLastSave="212" documentId="8_{52DE5255-D58A-5A48-8D7E-98F4B21E82CD}" xr6:coauthVersionLast="47" xr6:coauthVersionMax="47" xr10:uidLastSave="{53EAA579-F1F0-A645-BB24-D096056332AB}"/>
  <bookViews>
    <workbookView xWindow="0" yWindow="500" windowWidth="28800" windowHeight="16020" xr2:uid="{00000000-000D-0000-FFFF-FFFF00000000}"/>
  </bookViews>
  <sheets>
    <sheet name="Dominion Valua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OX39VO1Cqr39cf32bUtMz7VRpxA=="/>
    </ext>
  </extLst>
</workbook>
</file>

<file path=xl/calcChain.xml><?xml version="1.0" encoding="utf-8"?>
<calcChain xmlns="http://schemas.openxmlformats.org/spreadsheetml/2006/main">
  <c r="H8" i="2" l="1"/>
  <c r="H9" i="2"/>
  <c r="H10" i="2"/>
  <c r="H11" i="2"/>
  <c r="H12" i="2"/>
  <c r="H13" i="2"/>
  <c r="H14" i="2"/>
  <c r="H15" i="2"/>
  <c r="H16" i="2"/>
  <c r="H17" i="2"/>
  <c r="H7" i="2"/>
  <c r="F7" i="2"/>
  <c r="P28" i="2"/>
  <c r="P30" i="2"/>
  <c r="O28" i="2"/>
  <c r="O30" i="2"/>
  <c r="N30" i="2"/>
  <c r="N28" i="2"/>
  <c r="F9" i="2"/>
  <c r="F10" i="2"/>
  <c r="F11" i="2"/>
  <c r="F12" i="2"/>
  <c r="F13" i="2"/>
  <c r="F14" i="2"/>
  <c r="F15" i="2"/>
  <c r="F16" i="2"/>
  <c r="F17" i="2"/>
  <c r="F8" i="2"/>
  <c r="P7" i="2" l="1"/>
  <c r="P12" i="2"/>
  <c r="P13" i="2"/>
  <c r="P14" i="2"/>
  <c r="P15" i="2"/>
  <c r="P16" i="2"/>
  <c r="P17" i="2"/>
  <c r="P8" i="2"/>
  <c r="P9" i="2"/>
  <c r="P10" i="2"/>
  <c r="P11" i="2"/>
  <c r="N7" i="2" l="1"/>
  <c r="O7" i="2"/>
  <c r="N16" i="2"/>
  <c r="O16" i="2"/>
  <c r="N17" i="2"/>
  <c r="O17" i="2"/>
  <c r="O8" i="2"/>
  <c r="N8" i="2"/>
  <c r="O12" i="2"/>
  <c r="N12" i="2"/>
  <c r="O13" i="2"/>
  <c r="N13" i="2"/>
  <c r="O14" i="2"/>
  <c r="N14" i="2"/>
  <c r="O15" i="2"/>
  <c r="N15" i="2"/>
  <c r="N9" i="2"/>
  <c r="O9" i="2"/>
  <c r="P19" i="2"/>
  <c r="P22" i="2"/>
  <c r="P29" i="2" s="1"/>
  <c r="P20" i="2"/>
  <c r="P24" i="2"/>
  <c r="P23" i="2"/>
  <c r="P21" i="2"/>
  <c r="N10" i="2"/>
  <c r="O10" i="2"/>
  <c r="N11" i="2"/>
  <c r="O11" i="2"/>
  <c r="N20" i="2" l="1"/>
  <c r="N19" i="2"/>
  <c r="N22" i="2"/>
  <c r="N27" i="2" s="1"/>
  <c r="N29" i="2" s="1"/>
  <c r="N31" i="2" s="1"/>
  <c r="N21" i="2"/>
  <c r="N24" i="2"/>
  <c r="N23" i="2"/>
  <c r="O19" i="2"/>
  <c r="O20" i="2"/>
  <c r="O24" i="2"/>
  <c r="O22" i="2"/>
  <c r="O27" i="2" s="1"/>
  <c r="O29" i="2" s="1"/>
  <c r="O31" i="2" s="1"/>
  <c r="O23" i="2"/>
  <c r="O21" i="2"/>
  <c r="P31" i="2"/>
  <c r="P27" i="2"/>
</calcChain>
</file>

<file path=xl/sharedStrings.xml><?xml version="1.0" encoding="utf-8"?>
<sst xmlns="http://schemas.openxmlformats.org/spreadsheetml/2006/main" count="55" uniqueCount="50">
  <si>
    <t>Comparable Companies Analysis</t>
  </si>
  <si>
    <t>Valuation</t>
  </si>
  <si>
    <t>Company</t>
  </si>
  <si>
    <t>Ticker</t>
  </si>
  <si>
    <t>Share 
Price</t>
  </si>
  <si>
    <t>Shares Outstanding</t>
  </si>
  <si>
    <t>Equity Value</t>
  </si>
  <si>
    <t>Net Debt</t>
  </si>
  <si>
    <t>Enterprise 
Value</t>
  </si>
  <si>
    <t>Revenue</t>
  </si>
  <si>
    <t>EBITDA</t>
  </si>
  <si>
    <t>Net Income</t>
  </si>
  <si>
    <t>EV/Revenue</t>
  </si>
  <si>
    <t>EV/EBITDA</t>
  </si>
  <si>
    <t>P/E</t>
  </si>
  <si>
    <t>High</t>
  </si>
  <si>
    <t>75th Percentile</t>
  </si>
  <si>
    <t>Average</t>
  </si>
  <si>
    <t>Median</t>
  </si>
  <si>
    <t>25th Percentile</t>
  </si>
  <si>
    <t>Low</t>
  </si>
  <si>
    <t>Implied Enterprise Value</t>
  </si>
  <si>
    <t>Implied Market Value</t>
  </si>
  <si>
    <t>Implied Value Per Share</t>
  </si>
  <si>
    <t>DTE Energy Company</t>
  </si>
  <si>
    <t>DTE</t>
  </si>
  <si>
    <t>EXC</t>
  </si>
  <si>
    <t>ED</t>
  </si>
  <si>
    <t>PEG</t>
  </si>
  <si>
    <t>ES</t>
  </si>
  <si>
    <t>ETR</t>
  </si>
  <si>
    <t>SRE</t>
  </si>
  <si>
    <t>AEP</t>
  </si>
  <si>
    <t>SO</t>
  </si>
  <si>
    <t>WEC</t>
  </si>
  <si>
    <t>Public Service Enterprise Group Incorporated</t>
  </si>
  <si>
    <t>Eversource Energy</t>
  </si>
  <si>
    <t>Entergy Corporation</t>
  </si>
  <si>
    <t>Sempra</t>
  </si>
  <si>
    <t>American Electric Power Company</t>
  </si>
  <si>
    <t>The Southern Company</t>
  </si>
  <si>
    <t>WEC Energy Group, Inc.</t>
  </si>
  <si>
    <t>D</t>
  </si>
  <si>
    <t>Dominion Energy, Inc. Valuation</t>
  </si>
  <si>
    <t>Consolidated Edison, Inc.</t>
  </si>
  <si>
    <t>Exelon Corporation</t>
  </si>
  <si>
    <t>Financials (LTM as of June 30, 2026)</t>
  </si>
  <si>
    <t>Market Data (as of September 18, 2026)</t>
  </si>
  <si>
    <t>($ in millions, except per-share data)</t>
  </si>
  <si>
    <t xml:space="preserve">Dominion Energy,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</si>
</sst>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"/>
    <numFmt numFmtId="165" formatCode="_-* #,##0_-;\-* #,##0_-;_-* &quot;-&quot;??_-;_-@"/>
    <numFmt numFmtId="166" formatCode="#,##0.0\x"/>
    <numFmt numFmtId="167" formatCode="_-* #,##0.00\ _€_-;\-* #,##0.00\ _€_-;_-* &quot;-&quot;??\ _€_-;_-@"/>
    <numFmt numFmtId="168" formatCode="_(\ #,##0.0_);_(\ \(#,##0.0\)_);_(\ &quot; - &quot;_)"/>
    <numFmt numFmtId="169" formatCode="#,##0.0"/>
  </numFmts>
  <fonts count="1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8"/>
      <color rgb="FF293D68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sz val="12"/>
      <color rgb="FF0432FF"/>
      <name val="Calibri"/>
      <family val="2"/>
    </font>
    <font>
      <b/>
      <sz val="12"/>
      <color theme="1"/>
      <name val="Calibri"/>
      <family val="2"/>
    </font>
    <font>
      <b/>
      <sz val="12"/>
      <color rgb="FF0432FF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indexed="8"/>
      <name val="Calibri"/>
      <family val="2"/>
    </font>
    <font>
      <i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293D68"/>
        <bgColor rgb="FF293D68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293D68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2" borderId="1" xfId="0" applyFont="1" applyFill="1" applyBorder="1"/>
    <xf numFmtId="0" fontId="3" fillId="0" borderId="0" xfId="0" applyFont="1"/>
    <xf numFmtId="0" fontId="3" fillId="0" borderId="2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7" fillId="0" borderId="0" xfId="0" applyNumberFormat="1" applyFont="1"/>
    <xf numFmtId="165" fontId="3" fillId="0" borderId="0" xfId="0" applyNumberFormat="1" applyFont="1"/>
    <xf numFmtId="166" fontId="3" fillId="2" borderId="1" xfId="0" applyNumberFormat="1" applyFont="1" applyFill="1" applyBorder="1"/>
    <xf numFmtId="0" fontId="8" fillId="2" borderId="1" xfId="0" applyFont="1" applyFill="1" applyBorder="1"/>
    <xf numFmtId="166" fontId="8" fillId="2" borderId="1" xfId="0" applyNumberFormat="1" applyFont="1" applyFill="1" applyBorder="1"/>
    <xf numFmtId="0" fontId="3" fillId="3" borderId="1" xfId="0" applyFont="1" applyFill="1" applyBorder="1"/>
    <xf numFmtId="167" fontId="3" fillId="0" borderId="0" xfId="0" applyNumberFormat="1" applyFont="1"/>
    <xf numFmtId="0" fontId="8" fillId="2" borderId="7" xfId="0" applyFont="1" applyFill="1" applyBorder="1"/>
    <xf numFmtId="167" fontId="8" fillId="2" borderId="7" xfId="0" applyNumberFormat="1" applyFont="1" applyFill="1" applyBorder="1"/>
    <xf numFmtId="165" fontId="9" fillId="2" borderId="7" xfId="0" applyNumberFormat="1" applyFont="1" applyFill="1" applyBorder="1"/>
    <xf numFmtId="164" fontId="8" fillId="2" borderId="7" xfId="0" applyNumberFormat="1" applyFont="1" applyFill="1" applyBorder="1"/>
    <xf numFmtId="165" fontId="3" fillId="0" borderId="6" xfId="0" applyNumberFormat="1" applyFont="1" applyBorder="1"/>
    <xf numFmtId="4" fontId="2" fillId="0" borderId="0" xfId="0" applyNumberFormat="1" applyFont="1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5" fontId="7" fillId="0" borderId="1" xfId="0" applyNumberFormat="1" applyFont="1" applyBorder="1"/>
    <xf numFmtId="166" fontId="3" fillId="2" borderId="9" xfId="0" applyNumberFormat="1" applyFont="1" applyFill="1" applyBorder="1"/>
    <xf numFmtId="166" fontId="3" fillId="2" borderId="10" xfId="0" applyNumberFormat="1" applyFont="1" applyFill="1" applyBorder="1"/>
    <xf numFmtId="165" fontId="3" fillId="0" borderId="1" xfId="0" applyNumberFormat="1" applyFont="1" applyBorder="1"/>
    <xf numFmtId="43" fontId="0" fillId="0" borderId="0" xfId="0" applyNumberFormat="1"/>
    <xf numFmtId="0" fontId="10" fillId="0" borderId="0" xfId="0" applyFont="1"/>
    <xf numFmtId="0" fontId="1" fillId="0" borderId="0" xfId="0" applyFont="1"/>
    <xf numFmtId="4" fontId="1" fillId="0" borderId="0" xfId="0" applyNumberFormat="1" applyFont="1"/>
    <xf numFmtId="0" fontId="3" fillId="4" borderId="8" xfId="0" applyFont="1" applyFill="1" applyBorder="1"/>
    <xf numFmtId="0" fontId="3" fillId="4" borderId="9" xfId="0" applyFont="1" applyFill="1" applyBorder="1" applyAlignment="1">
      <alignment horizontal="center"/>
    </xf>
    <xf numFmtId="165" fontId="3" fillId="4" borderId="6" xfId="0" applyNumberFormat="1" applyFont="1" applyFill="1" applyBorder="1"/>
    <xf numFmtId="165" fontId="7" fillId="4" borderId="9" xfId="0" applyNumberFormat="1" applyFont="1" applyFill="1" applyBorder="1"/>
    <xf numFmtId="165" fontId="3" fillId="4" borderId="9" xfId="0" applyNumberFormat="1" applyFont="1" applyFill="1" applyBorder="1"/>
    <xf numFmtId="166" fontId="3" fillId="4" borderId="9" xfId="0" applyNumberFormat="1" applyFont="1" applyFill="1" applyBorder="1"/>
    <xf numFmtId="166" fontId="3" fillId="4" borderId="10" xfId="0" applyNumberFormat="1" applyFont="1" applyFill="1" applyBorder="1"/>
    <xf numFmtId="0" fontId="4" fillId="0" borderId="2" xfId="0" applyFont="1" applyBorder="1"/>
    <xf numFmtId="39" fontId="11" fillId="5" borderId="1" xfId="0" applyNumberFormat="1" applyFont="1" applyFill="1" applyBorder="1" applyAlignment="1">
      <alignment horizontal="right" vertical="top" wrapText="1"/>
    </xf>
    <xf numFmtId="168" fontId="12" fillId="5" borderId="0" xfId="0" applyNumberFormat="1" applyFont="1" applyFill="1" applyAlignment="1">
      <alignment horizontal="right" vertical="top" wrapText="1"/>
    </xf>
    <xf numFmtId="169" fontId="3" fillId="5" borderId="0" xfId="0" applyNumberFormat="1" applyFont="1" applyFill="1"/>
    <xf numFmtId="39" fontId="12" fillId="0" borderId="0" xfId="0" applyNumberFormat="1" applyFont="1" applyAlignment="1">
      <alignment horizontal="right" vertical="top" wrapText="1"/>
    </xf>
    <xf numFmtId="168" fontId="12" fillId="0" borderId="0" xfId="0" applyNumberFormat="1" applyFont="1" applyAlignment="1">
      <alignment horizontal="right" vertical="top" wrapText="1"/>
    </xf>
    <xf numFmtId="169" fontId="3" fillId="0" borderId="0" xfId="0" applyNumberFormat="1" applyFont="1"/>
    <xf numFmtId="0" fontId="1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4" xfId="0" applyFont="1" applyBorder="1"/>
    <xf numFmtId="0" fontId="6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53"/>
  <sheetViews>
    <sheetView showGridLines="0" tabSelected="1" topLeftCell="A27" workbookViewId="0">
      <selection activeCell="F40" sqref="F40:G51"/>
    </sheetView>
  </sheetViews>
  <sheetFormatPr baseColWidth="10" defaultColWidth="11.1640625" defaultRowHeight="15" customHeight="1" x14ac:dyDescent="0.2"/>
  <cols>
    <col min="1" max="1" width="10.6640625" customWidth="1"/>
    <col min="2" max="2" width="43.6640625" customWidth="1"/>
    <col min="3" max="3" width="14.1640625" customWidth="1"/>
    <col min="4" max="4" width="10.33203125" customWidth="1"/>
    <col min="5" max="5" width="14.33203125" customWidth="1"/>
    <col min="6" max="7" width="11.33203125" customWidth="1"/>
    <col min="8" max="8" width="10.6640625" customWidth="1"/>
    <col min="9" max="9" width="23.6640625" customWidth="1"/>
    <col min="10" max="10" width="11.5" customWidth="1"/>
    <col min="11" max="12" width="10.6640625" customWidth="1"/>
    <col min="13" max="13" width="3.6640625" customWidth="1"/>
    <col min="14" max="14" width="13.1640625" customWidth="1"/>
    <col min="15" max="26" width="10.6640625" customWidth="1"/>
  </cols>
  <sheetData>
    <row r="1" spans="2:16" ht="16" x14ac:dyDescent="0.2"/>
    <row r="2" spans="2:16" ht="24" x14ac:dyDescent="0.3">
      <c r="B2" s="4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16" x14ac:dyDescent="0.2">
      <c r="B3" s="50" t="s">
        <v>48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16" ht="16" x14ac:dyDescent="0.2">
      <c r="B4" s="4"/>
      <c r="C4" s="4"/>
      <c r="D4" s="51" t="s">
        <v>47</v>
      </c>
      <c r="E4" s="52"/>
      <c r="F4" s="52"/>
      <c r="G4" s="52"/>
      <c r="H4" s="53"/>
      <c r="I4" s="4"/>
      <c r="J4" s="51" t="s">
        <v>46</v>
      </c>
      <c r="K4" s="52"/>
      <c r="L4" s="53"/>
      <c r="M4" s="4"/>
      <c r="N4" s="51" t="s">
        <v>1</v>
      </c>
      <c r="O4" s="52"/>
      <c r="P4" s="53"/>
    </row>
    <row r="5" spans="2:16" ht="34" x14ac:dyDescent="0.2">
      <c r="B5" s="5" t="s">
        <v>2</v>
      </c>
      <c r="C5" s="5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7"/>
      <c r="J5" s="7" t="s">
        <v>9</v>
      </c>
      <c r="K5" s="7" t="s">
        <v>10</v>
      </c>
      <c r="L5" s="7" t="s">
        <v>11</v>
      </c>
      <c r="M5" s="7"/>
      <c r="N5" s="7" t="s">
        <v>12</v>
      </c>
      <c r="O5" s="7" t="s">
        <v>13</v>
      </c>
      <c r="P5" s="7" t="s">
        <v>14</v>
      </c>
    </row>
    <row r="6" spans="2:16" ht="7" customHeight="1" x14ac:dyDescent="0.2">
      <c r="B6" s="8"/>
      <c r="C6" s="8"/>
      <c r="D6" s="9"/>
      <c r="E6" s="9"/>
      <c r="F6" s="9"/>
      <c r="G6" s="9"/>
      <c r="H6" s="9"/>
      <c r="I6" s="10"/>
      <c r="J6" s="10"/>
      <c r="K6" s="10"/>
      <c r="L6" s="10"/>
      <c r="M6" s="10"/>
      <c r="N6" s="10"/>
      <c r="O6" s="10"/>
      <c r="P6" s="10"/>
    </row>
    <row r="7" spans="2:16" ht="16" customHeight="1" x14ac:dyDescent="0.2">
      <c r="B7" s="36" t="s">
        <v>49</v>
      </c>
      <c r="C7" s="37" t="s">
        <v>42</v>
      </c>
      <c r="D7" s="44">
        <v>63.58</v>
      </c>
      <c r="E7" s="45">
        <v>879.5</v>
      </c>
      <c r="F7" s="38">
        <f>D7*E7</f>
        <v>55918.61</v>
      </c>
      <c r="G7" s="45">
        <v>53634</v>
      </c>
      <c r="H7" s="38">
        <f>F7+G7</f>
        <v>109552.61</v>
      </c>
      <c r="I7" s="39"/>
      <c r="J7" s="45">
        <v>18119</v>
      </c>
      <c r="K7" s="45">
        <v>8341</v>
      </c>
      <c r="L7" s="46">
        <v>2534</v>
      </c>
      <c r="M7" s="40"/>
      <c r="N7" s="41">
        <f>H7/J7</f>
        <v>6.0462834593520611</v>
      </c>
      <c r="O7" s="41">
        <f>H7/K7</f>
        <v>13.134229708668025</v>
      </c>
      <c r="P7" s="42">
        <f t="shared" ref="P7:P17" si="0">F7/L7</f>
        <v>22.067328334648778</v>
      </c>
    </row>
    <row r="8" spans="2:16" ht="16" x14ac:dyDescent="0.2">
      <c r="B8" s="26" t="s">
        <v>24</v>
      </c>
      <c r="C8" s="27" t="s">
        <v>25</v>
      </c>
      <c r="D8" s="47">
        <v>128.52000000000001</v>
      </c>
      <c r="E8" s="48">
        <v>208.1</v>
      </c>
      <c r="F8" s="23">
        <f>D8*E8</f>
        <v>26745.012000000002</v>
      </c>
      <c r="G8" s="48">
        <v>27798</v>
      </c>
      <c r="H8" s="38">
        <f t="shared" ref="H8:H17" si="1">F8+G8</f>
        <v>54543.012000000002</v>
      </c>
      <c r="I8" s="28"/>
      <c r="J8" s="48">
        <v>16465</v>
      </c>
      <c r="K8" s="48">
        <v>3617</v>
      </c>
      <c r="L8" s="49">
        <v>1317</v>
      </c>
      <c r="M8" s="31"/>
      <c r="N8" s="29">
        <f t="shared" ref="N8:N17" si="2">H8/J8</f>
        <v>3.3126639538414819</v>
      </c>
      <c r="O8" s="29">
        <f t="shared" ref="O8:O17" si="3">H8/K8</f>
        <v>15.079627315454797</v>
      </c>
      <c r="P8" s="30">
        <f t="shared" si="0"/>
        <v>20.307526195899776</v>
      </c>
    </row>
    <row r="9" spans="2:16" ht="16" x14ac:dyDescent="0.2">
      <c r="B9" s="2" t="s">
        <v>45</v>
      </c>
      <c r="C9" s="11" t="s">
        <v>26</v>
      </c>
      <c r="D9" s="47">
        <v>42.07</v>
      </c>
      <c r="E9" s="48">
        <v>1032.3</v>
      </c>
      <c r="F9" s="23">
        <f t="shared" ref="F9:F17" si="4">D9*E9</f>
        <v>43428.860999999997</v>
      </c>
      <c r="G9" s="48">
        <v>50860</v>
      </c>
      <c r="H9" s="38">
        <f t="shared" si="1"/>
        <v>94288.861000000004</v>
      </c>
      <c r="I9" s="12"/>
      <c r="J9" s="48">
        <v>25326</v>
      </c>
      <c r="K9" s="48">
        <v>8355</v>
      </c>
      <c r="L9" s="49">
        <v>2783</v>
      </c>
      <c r="M9" s="13"/>
      <c r="N9" s="29">
        <f t="shared" si="2"/>
        <v>3.7230064360736006</v>
      </c>
      <c r="O9" s="29">
        <f t="shared" si="3"/>
        <v>11.285321484141233</v>
      </c>
      <c r="P9" s="30">
        <f t="shared" si="0"/>
        <v>15.605052461372619</v>
      </c>
    </row>
    <row r="10" spans="2:16" ht="16" x14ac:dyDescent="0.2">
      <c r="B10" s="2" t="s">
        <v>44</v>
      </c>
      <c r="C10" s="11" t="s">
        <v>27</v>
      </c>
      <c r="D10" s="47">
        <v>105.43</v>
      </c>
      <c r="E10" s="48">
        <v>369.8</v>
      </c>
      <c r="F10" s="23">
        <f t="shared" si="4"/>
        <v>38988.014000000003</v>
      </c>
      <c r="G10" s="48">
        <v>26850</v>
      </c>
      <c r="H10" s="38">
        <f t="shared" si="1"/>
        <v>65838.013999999996</v>
      </c>
      <c r="I10" s="12"/>
      <c r="J10" s="48">
        <v>17689</v>
      </c>
      <c r="K10" s="48">
        <v>6162</v>
      </c>
      <c r="L10" s="49">
        <v>2217</v>
      </c>
      <c r="M10" s="13"/>
      <c r="N10" s="29">
        <f t="shared" si="2"/>
        <v>3.7219748996551525</v>
      </c>
      <c r="O10" s="29">
        <f t="shared" si="3"/>
        <v>10.68452028562155</v>
      </c>
      <c r="P10" s="30">
        <f t="shared" si="0"/>
        <v>17.585933243121335</v>
      </c>
    </row>
    <row r="11" spans="2:16" ht="16" x14ac:dyDescent="0.2">
      <c r="B11" s="2" t="s">
        <v>35</v>
      </c>
      <c r="C11" s="11" t="s">
        <v>28</v>
      </c>
      <c r="D11" s="47">
        <v>69.77</v>
      </c>
      <c r="E11" s="48">
        <v>498.4</v>
      </c>
      <c r="F11" s="23">
        <f t="shared" si="4"/>
        <v>34773.367999999995</v>
      </c>
      <c r="G11" s="48">
        <v>24486</v>
      </c>
      <c r="H11" s="38">
        <f t="shared" si="1"/>
        <v>59259.367999999995</v>
      </c>
      <c r="I11" s="12"/>
      <c r="J11" s="48">
        <v>12543</v>
      </c>
      <c r="K11" s="48">
        <v>4463</v>
      </c>
      <c r="L11" s="49">
        <v>2012</v>
      </c>
      <c r="M11" s="13"/>
      <c r="N11" s="29">
        <f t="shared" si="2"/>
        <v>4.7244971697361073</v>
      </c>
      <c r="O11" s="29">
        <f t="shared" si="3"/>
        <v>13.277922473672417</v>
      </c>
      <c r="P11" s="30">
        <f t="shared" si="0"/>
        <v>17.282986083499004</v>
      </c>
    </row>
    <row r="12" spans="2:16" ht="16" x14ac:dyDescent="0.2">
      <c r="B12" s="2" t="s">
        <v>36</v>
      </c>
      <c r="C12" s="11" t="s">
        <v>29</v>
      </c>
      <c r="D12" s="47">
        <v>67.72</v>
      </c>
      <c r="E12" s="48">
        <v>376.7</v>
      </c>
      <c r="F12" s="23">
        <f t="shared" si="4"/>
        <v>25510.124</v>
      </c>
      <c r="G12" s="48">
        <v>27988.5</v>
      </c>
      <c r="H12" s="38">
        <f t="shared" si="1"/>
        <v>53498.623999999996</v>
      </c>
      <c r="I12" s="12"/>
      <c r="J12" s="48">
        <v>13998.4</v>
      </c>
      <c r="K12" s="48">
        <v>4933</v>
      </c>
      <c r="L12" s="49">
        <v>1449.4</v>
      </c>
      <c r="M12" s="13"/>
      <c r="N12" s="29">
        <f t="shared" si="2"/>
        <v>3.8217670590924677</v>
      </c>
      <c r="O12" s="29">
        <f t="shared" si="3"/>
        <v>10.845048449219542</v>
      </c>
      <c r="P12" s="30">
        <f t="shared" si="0"/>
        <v>17.600471919414929</v>
      </c>
    </row>
    <row r="13" spans="2:16" ht="16" x14ac:dyDescent="0.2">
      <c r="B13" s="2" t="s">
        <v>37</v>
      </c>
      <c r="C13" s="11" t="s">
        <v>30</v>
      </c>
      <c r="D13" s="47">
        <v>102.01</v>
      </c>
      <c r="E13" s="48">
        <v>477.8</v>
      </c>
      <c r="F13" s="23">
        <f t="shared" si="4"/>
        <v>48740.378000000004</v>
      </c>
      <c r="G13" s="48">
        <v>30772.3</v>
      </c>
      <c r="H13" s="38">
        <f t="shared" si="1"/>
        <v>79512.678</v>
      </c>
      <c r="I13" s="12"/>
      <c r="J13" s="48">
        <v>13482.2</v>
      </c>
      <c r="K13" s="48">
        <v>5538.1</v>
      </c>
      <c r="L13" s="49">
        <v>1797.1</v>
      </c>
      <c r="M13" s="13"/>
      <c r="N13" s="29">
        <f t="shared" si="2"/>
        <v>5.8976041002210318</v>
      </c>
      <c r="O13" s="29">
        <f t="shared" si="3"/>
        <v>14.357392968707678</v>
      </c>
      <c r="P13" s="30">
        <f t="shared" si="0"/>
        <v>27.121683823938572</v>
      </c>
    </row>
    <row r="14" spans="2:16" ht="16" x14ac:dyDescent="0.2">
      <c r="B14" s="2" t="s">
        <v>38</v>
      </c>
      <c r="C14" s="11" t="s">
        <v>31</v>
      </c>
      <c r="D14" s="47">
        <v>81.31</v>
      </c>
      <c r="E14" s="48">
        <v>653.9</v>
      </c>
      <c r="F14" s="23">
        <f t="shared" si="4"/>
        <v>53168.608999999997</v>
      </c>
      <c r="G14" s="48">
        <v>36616</v>
      </c>
      <c r="H14" s="38">
        <f t="shared" si="1"/>
        <v>89784.608999999997</v>
      </c>
      <c r="I14" s="12"/>
      <c r="J14" s="48">
        <v>13552</v>
      </c>
      <c r="K14" s="48">
        <v>5874</v>
      </c>
      <c r="L14" s="49">
        <v>2280</v>
      </c>
      <c r="M14" s="13"/>
      <c r="N14" s="29">
        <f t="shared" si="2"/>
        <v>6.6251925177095625</v>
      </c>
      <c r="O14" s="29">
        <f t="shared" si="3"/>
        <v>15.28508835546476</v>
      </c>
      <c r="P14" s="30">
        <f t="shared" si="0"/>
        <v>23.319565350877191</v>
      </c>
    </row>
    <row r="15" spans="2:16" ht="16" x14ac:dyDescent="0.2">
      <c r="B15" s="2" t="s">
        <v>39</v>
      </c>
      <c r="C15" s="11" t="s">
        <v>32</v>
      </c>
      <c r="D15" s="47">
        <v>120</v>
      </c>
      <c r="E15" s="48">
        <v>544.4</v>
      </c>
      <c r="F15" s="23">
        <f t="shared" si="4"/>
        <v>65328</v>
      </c>
      <c r="G15" s="48">
        <v>52922</v>
      </c>
      <c r="H15" s="38">
        <f t="shared" si="1"/>
        <v>118250</v>
      </c>
      <c r="I15" s="12"/>
      <c r="J15" s="48">
        <v>22791</v>
      </c>
      <c r="K15" s="48">
        <v>9029</v>
      </c>
      <c r="L15" s="49">
        <v>3141</v>
      </c>
      <c r="M15" s="13"/>
      <c r="N15" s="29">
        <f t="shared" si="2"/>
        <v>5.1884515817647321</v>
      </c>
      <c r="O15" s="29">
        <f t="shared" si="3"/>
        <v>13.096688448333149</v>
      </c>
      <c r="P15" s="30">
        <f t="shared" si="0"/>
        <v>20.798471824259789</v>
      </c>
    </row>
    <row r="16" spans="2:16" ht="16" x14ac:dyDescent="0.2">
      <c r="B16" s="2" t="s">
        <v>40</v>
      </c>
      <c r="C16" s="11" t="s">
        <v>33</v>
      </c>
      <c r="D16" s="47">
        <v>85.52</v>
      </c>
      <c r="E16" s="48">
        <v>1150.4000000000001</v>
      </c>
      <c r="F16" s="23">
        <f t="shared" si="4"/>
        <v>98382.207999999999</v>
      </c>
      <c r="G16" s="48">
        <v>74103</v>
      </c>
      <c r="H16" s="38">
        <f t="shared" si="1"/>
        <v>172485.20799999998</v>
      </c>
      <c r="I16" s="12"/>
      <c r="J16" s="48">
        <v>30179</v>
      </c>
      <c r="K16" s="48">
        <v>14258</v>
      </c>
      <c r="L16" s="49">
        <v>4658</v>
      </c>
      <c r="M16" s="13"/>
      <c r="N16" s="29">
        <f t="shared" si="2"/>
        <v>5.7154050167334898</v>
      </c>
      <c r="O16" s="29">
        <f t="shared" si="3"/>
        <v>12.097433581147424</v>
      </c>
      <c r="P16" s="30">
        <f t="shared" si="0"/>
        <v>21.121126663804208</v>
      </c>
    </row>
    <row r="17" spans="2:16" ht="16" x14ac:dyDescent="0.2">
      <c r="B17" s="2" t="s">
        <v>41</v>
      </c>
      <c r="C17" s="11" t="s">
        <v>34</v>
      </c>
      <c r="D17" s="47">
        <v>103.17</v>
      </c>
      <c r="E17" s="48">
        <v>325.8</v>
      </c>
      <c r="F17" s="23">
        <f t="shared" si="4"/>
        <v>33612.786</v>
      </c>
      <c r="G17" s="48">
        <v>22973.200000000001</v>
      </c>
      <c r="H17" s="38">
        <f t="shared" si="1"/>
        <v>56585.986000000004</v>
      </c>
      <c r="I17" s="12"/>
      <c r="J17" s="48">
        <v>10137.4</v>
      </c>
      <c r="K17" s="48">
        <v>3965.2</v>
      </c>
      <c r="L17" s="49">
        <v>1691.5</v>
      </c>
      <c r="M17" s="13"/>
      <c r="N17" s="29">
        <f t="shared" si="2"/>
        <v>5.5819032493538785</v>
      </c>
      <c r="O17" s="29">
        <f t="shared" si="3"/>
        <v>14.270651165136691</v>
      </c>
      <c r="P17" s="30">
        <f t="shared" si="0"/>
        <v>19.871584983742242</v>
      </c>
    </row>
    <row r="18" spans="2:16" ht="16" x14ac:dyDescent="0.2">
      <c r="B18" s="2"/>
      <c r="C18" s="2"/>
      <c r="D18" s="2"/>
      <c r="E18" s="1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2:16" ht="16" x14ac:dyDescent="0.2">
      <c r="B19" s="1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4">
        <f>MAX(N8:N17)</f>
        <v>6.6251925177095625</v>
      </c>
      <c r="O19" s="14">
        <f t="shared" ref="O19:P19" si="5">MAX(O8:O17)</f>
        <v>15.28508835546476</v>
      </c>
      <c r="P19" s="14">
        <f t="shared" si="5"/>
        <v>27.121683823938572</v>
      </c>
    </row>
    <row r="20" spans="2:16" ht="16" x14ac:dyDescent="0.2">
      <c r="B20" s="1" t="s">
        <v>16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4">
        <f>QUARTILE(N8:N17,3)</f>
        <v>5.6820295748885865</v>
      </c>
      <c r="O20" s="14">
        <f t="shared" ref="O20:P20" si="6">QUARTILE(O8:O17,3)</f>
        <v>14.335707517814932</v>
      </c>
      <c r="P20" s="14">
        <f t="shared" si="6"/>
        <v>21.040462953918102</v>
      </c>
    </row>
    <row r="21" spans="2:16" ht="16" x14ac:dyDescent="0.2">
      <c r="B21" s="15" t="s">
        <v>17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6">
        <f>AVERAGE(N8:N17)</f>
        <v>4.8312465984181507</v>
      </c>
      <c r="O21" s="16">
        <f t="shared" ref="O21:P21" si="7">AVERAGE(O8:O17)</f>
        <v>13.027969452689925</v>
      </c>
      <c r="P21" s="16">
        <f t="shared" si="7"/>
        <v>20.061440254992966</v>
      </c>
    </row>
    <row r="22" spans="2:16" ht="16" x14ac:dyDescent="0.2">
      <c r="B22" s="15" t="s">
        <v>18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6">
        <f>MEDIAN(N8:N17)</f>
        <v>4.9564743757504193</v>
      </c>
      <c r="O22" s="16">
        <f t="shared" ref="O22:P22" si="8">MEDIAN(O8:O17)</f>
        <v>13.187305461002783</v>
      </c>
      <c r="P22" s="16">
        <f t="shared" si="8"/>
        <v>20.089555589821011</v>
      </c>
    </row>
    <row r="23" spans="2:16" ht="16" x14ac:dyDescent="0.2">
      <c r="B23" s="1" t="s">
        <v>19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4">
        <f>QUARTILE(N8:N17,1)</f>
        <v>3.7476965918283174</v>
      </c>
      <c r="O23" s="14">
        <f t="shared" ref="O23:P23" si="9">QUARTILE(O8:O17,1)</f>
        <v>11.488349508392782</v>
      </c>
      <c r="P23" s="14">
        <f t="shared" si="9"/>
        <v>17.589567912194735</v>
      </c>
    </row>
    <row r="24" spans="2:16" ht="16" x14ac:dyDescent="0.2">
      <c r="B24" s="1" t="s">
        <v>20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4">
        <f>MIN(N8:N17)</f>
        <v>3.3126639538414819</v>
      </c>
      <c r="O24" s="14">
        <f t="shared" ref="O24:P24" si="10">MIN(O8:O17)</f>
        <v>10.68452028562155</v>
      </c>
      <c r="P24" s="14">
        <f t="shared" si="10"/>
        <v>15.605052461372619</v>
      </c>
    </row>
    <row r="25" spans="2:16" ht="16" x14ac:dyDescent="0.2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2:16" ht="16" x14ac:dyDescent="0.2">
      <c r="B26" s="4" t="s">
        <v>43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7" t="s">
        <v>12</v>
      </c>
      <c r="O26" s="7" t="s">
        <v>13</v>
      </c>
      <c r="P26" s="7" t="s">
        <v>14</v>
      </c>
    </row>
    <row r="27" spans="2:16" ht="16" x14ac:dyDescent="0.2">
      <c r="B27" s="2" t="s">
        <v>21</v>
      </c>
      <c r="C27" s="2"/>
      <c r="D27" s="2"/>
      <c r="E27" s="2"/>
      <c r="F27" s="2"/>
      <c r="G27" s="2"/>
      <c r="H27" s="2"/>
      <c r="I27" s="2"/>
      <c r="J27" s="18"/>
      <c r="K27" s="2"/>
      <c r="L27" s="2"/>
      <c r="M27" s="2"/>
      <c r="N27" s="13">
        <f>N22*J7</f>
        <v>89806.35921422184</v>
      </c>
      <c r="O27" s="13">
        <f>O22*K7</f>
        <v>109995.31485022421</v>
      </c>
      <c r="P27" s="13">
        <f>P28+P29</f>
        <v>104540.93386460644</v>
      </c>
    </row>
    <row r="28" spans="2:16" ht="16" x14ac:dyDescent="0.2">
      <c r="B28" s="2" t="s">
        <v>7</v>
      </c>
      <c r="C28" s="2"/>
      <c r="D28" s="2"/>
      <c r="E28" s="2"/>
      <c r="F28" s="2"/>
      <c r="G28" s="12"/>
      <c r="H28" s="2"/>
      <c r="I28" s="2"/>
      <c r="J28" s="18"/>
      <c r="K28" s="2"/>
      <c r="L28" s="2"/>
      <c r="M28" s="2"/>
      <c r="N28" s="13">
        <f>$G$7</f>
        <v>53634</v>
      </c>
      <c r="O28" s="13">
        <f>$G$7</f>
        <v>53634</v>
      </c>
      <c r="P28" s="13">
        <f>$G$7</f>
        <v>53634</v>
      </c>
    </row>
    <row r="29" spans="2:16" ht="16" x14ac:dyDescent="0.2">
      <c r="B29" s="2" t="s">
        <v>22</v>
      </c>
      <c r="C29" s="2"/>
      <c r="D29" s="2"/>
      <c r="E29" s="2"/>
      <c r="F29" s="2"/>
      <c r="G29" s="12"/>
      <c r="H29" s="2"/>
      <c r="I29" s="2"/>
      <c r="J29" s="18"/>
      <c r="K29" s="2"/>
      <c r="L29" s="2"/>
      <c r="M29" s="2"/>
      <c r="N29" s="13">
        <f>N27-N28</f>
        <v>36172.35921422184</v>
      </c>
      <c r="O29" s="13">
        <f>O27-O28</f>
        <v>56361.314850224211</v>
      </c>
      <c r="P29" s="13">
        <f>P22*L7</f>
        <v>50906.933864606443</v>
      </c>
    </row>
    <row r="30" spans="2:16" ht="16" x14ac:dyDescent="0.2">
      <c r="B30" s="2" t="s">
        <v>5</v>
      </c>
      <c r="C30" s="2"/>
      <c r="D30" s="2"/>
      <c r="E30" s="2"/>
      <c r="F30" s="2"/>
      <c r="G30" s="12"/>
      <c r="H30" s="2"/>
      <c r="I30" s="2"/>
      <c r="J30" s="2"/>
      <c r="K30" s="2"/>
      <c r="L30" s="2"/>
      <c r="M30" s="2"/>
      <c r="N30" s="13">
        <f>$E$7</f>
        <v>879.5</v>
      </c>
      <c r="O30" s="13">
        <f>$E$7</f>
        <v>879.5</v>
      </c>
      <c r="P30" s="13">
        <f>$E$7</f>
        <v>879.5</v>
      </c>
    </row>
    <row r="31" spans="2:16" ht="16" x14ac:dyDescent="0.2">
      <c r="B31" s="19" t="s">
        <v>23</v>
      </c>
      <c r="C31" s="19"/>
      <c r="D31" s="20"/>
      <c r="E31" s="20"/>
      <c r="F31" s="19"/>
      <c r="G31" s="21"/>
      <c r="H31" s="19"/>
      <c r="I31" s="19"/>
      <c r="J31" s="19"/>
      <c r="K31" s="19"/>
      <c r="L31" s="19"/>
      <c r="M31" s="19"/>
      <c r="N31" s="22">
        <f>N29/N30</f>
        <v>41.128322017307383</v>
      </c>
      <c r="O31" s="22">
        <f>O29/O30</f>
        <v>64.083359693262324</v>
      </c>
      <c r="P31" s="22">
        <f>P29/P30</f>
        <v>57.881675798301814</v>
      </c>
    </row>
    <row r="32" spans="2:16" ht="16" x14ac:dyDescent="0.2">
      <c r="D32" s="18"/>
      <c r="E32" s="18"/>
      <c r="G32" s="12"/>
    </row>
    <row r="33" spans="2:9" ht="16" x14ac:dyDescent="0.2">
      <c r="D33" s="18"/>
      <c r="E33" s="18"/>
      <c r="G33" s="12"/>
    </row>
    <row r="34" spans="2:9" ht="16" x14ac:dyDescent="0.2">
      <c r="D34" s="18"/>
      <c r="E34" s="18"/>
    </row>
    <row r="35" spans="2:9" ht="16" x14ac:dyDescent="0.2">
      <c r="D35" s="18"/>
      <c r="E35" s="18"/>
      <c r="F35" s="32"/>
    </row>
    <row r="40" spans="2:9" ht="15" customHeight="1" x14ac:dyDescent="0.2">
      <c r="B40" s="33"/>
      <c r="C40" s="33"/>
      <c r="D40" s="33"/>
      <c r="F40" s="33"/>
      <c r="G40" s="33"/>
    </row>
    <row r="41" spans="2:9" ht="15" customHeight="1" x14ac:dyDescent="0.2">
      <c r="B41" s="34"/>
      <c r="C41" s="34"/>
      <c r="D41" s="35"/>
      <c r="F41" s="34"/>
      <c r="G41" s="34"/>
    </row>
    <row r="42" spans="2:9" ht="15" customHeight="1" x14ac:dyDescent="0.2">
      <c r="B42" s="34"/>
      <c r="C42" s="34"/>
      <c r="D42" s="34"/>
      <c r="F42" s="34"/>
      <c r="G42" s="34"/>
      <c r="H42" s="33"/>
      <c r="I42" s="33"/>
    </row>
    <row r="43" spans="2:9" ht="15" customHeight="1" x14ac:dyDescent="0.2">
      <c r="B43" s="34"/>
      <c r="C43" s="34"/>
      <c r="D43" s="34"/>
      <c r="F43" s="34"/>
      <c r="G43" s="34"/>
      <c r="H43" s="34"/>
      <c r="I43" s="35"/>
    </row>
    <row r="44" spans="2:9" ht="15" customHeight="1" x14ac:dyDescent="0.2">
      <c r="B44" s="34"/>
      <c r="C44" s="34"/>
      <c r="D44" s="34"/>
      <c r="F44" s="34"/>
      <c r="G44" s="34"/>
      <c r="H44" s="34"/>
      <c r="I44" s="35"/>
    </row>
    <row r="45" spans="2:9" ht="15" customHeight="1" x14ac:dyDescent="0.2">
      <c r="B45" s="34"/>
      <c r="C45" s="34"/>
      <c r="D45" s="34"/>
      <c r="F45" s="34"/>
      <c r="G45" s="34"/>
      <c r="H45" s="34"/>
      <c r="I45" s="35"/>
    </row>
    <row r="46" spans="2:9" ht="15" customHeight="1" x14ac:dyDescent="0.2">
      <c r="B46" s="34"/>
      <c r="C46" s="34"/>
      <c r="D46" s="34"/>
      <c r="F46" s="34"/>
      <c r="G46" s="34"/>
      <c r="H46" s="34"/>
      <c r="I46" s="35"/>
    </row>
    <row r="47" spans="2:9" ht="15" customHeight="1" x14ac:dyDescent="0.2">
      <c r="B47" s="34"/>
      <c r="C47" s="34"/>
      <c r="D47" s="34"/>
      <c r="F47" s="34"/>
      <c r="G47" s="34"/>
      <c r="H47" s="34"/>
      <c r="I47" s="35"/>
    </row>
    <row r="48" spans="2:9" ht="15" customHeight="1" x14ac:dyDescent="0.2">
      <c r="B48" s="34"/>
      <c r="C48" s="34"/>
      <c r="D48" s="35"/>
      <c r="F48" s="34"/>
      <c r="G48" s="34"/>
      <c r="H48" s="34"/>
      <c r="I48" s="35"/>
    </row>
    <row r="49" spans="2:9" ht="15" customHeight="1" x14ac:dyDescent="0.2">
      <c r="B49" s="34"/>
      <c r="C49" s="34"/>
      <c r="D49" s="35"/>
      <c r="F49" s="34"/>
      <c r="G49" s="34"/>
      <c r="H49" s="34"/>
      <c r="I49" s="35"/>
    </row>
    <row r="50" spans="2:9" ht="15" customHeight="1" x14ac:dyDescent="0.2">
      <c r="B50" s="34"/>
      <c r="C50" s="34"/>
      <c r="D50" s="35"/>
      <c r="F50" s="34"/>
      <c r="G50" s="34"/>
      <c r="H50" s="34"/>
      <c r="I50" s="35"/>
    </row>
    <row r="51" spans="2:9" ht="15" customHeight="1" x14ac:dyDescent="0.2">
      <c r="B51" s="25"/>
      <c r="C51" s="25"/>
      <c r="D51" s="24"/>
      <c r="F51" s="34"/>
      <c r="G51" s="34"/>
      <c r="H51" s="34"/>
      <c r="I51" s="35"/>
    </row>
    <row r="52" spans="2:9" ht="15" customHeight="1" x14ac:dyDescent="0.2">
      <c r="B52" s="25"/>
      <c r="C52" s="25"/>
      <c r="D52" s="24"/>
      <c r="G52" s="34"/>
      <c r="H52" s="34"/>
      <c r="I52" s="35"/>
    </row>
    <row r="53" spans="2:9" ht="15" customHeight="1" x14ac:dyDescent="0.2">
      <c r="B53" s="25"/>
      <c r="C53" s="25"/>
      <c r="D53" s="24"/>
      <c r="G53" s="34"/>
      <c r="H53" s="34"/>
      <c r="I53" s="35"/>
    </row>
  </sheetData>
  <mergeCells count="3">
    <mergeCell ref="D4:H4"/>
    <mergeCell ref="J4:L4"/>
    <mergeCell ref="N4:P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Dominion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Stone, Owen</cp:lastModifiedBy>
  <dcterms:created xsi:type="dcterms:W3CDTF">2021-12-06T10:27:27Z</dcterms:created>
  <dcterms:modified xsi:type="dcterms:W3CDTF">2026-10-12T16:16:54Z</dcterms:modified>
</cp:coreProperties>
</file>